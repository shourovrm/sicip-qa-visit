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TA" sheetId="12" r:id="rId1"/>
  </sheets>
  <definedNames>
    <definedName name="_xlnm._FilterDatabase" localSheetId="0" hidden="1">TA!$A$12:$L$12</definedName>
  </definedNames>
  <calcPr calcId="144525"/>
</workbook>
</file>

<file path=xl/sharedStrings.xml><?xml version="1.0" encoding="utf-8"?>
<sst xmlns="http://schemas.openxmlformats.org/spreadsheetml/2006/main" count="125" uniqueCount="47">
  <si>
    <t>Government of the People’s Republic of Bangladesh</t>
  </si>
  <si>
    <t>Skills for Industry Competitiveness and Innovation Program (SICIP)</t>
  </si>
  <si>
    <t>Finance Division, Ministry of Finance</t>
  </si>
  <si>
    <t>TA/DA Bill</t>
  </si>
  <si>
    <t>Name &amp; Designation:</t>
  </si>
  <si>
    <t>John Doe, Program Officer (QA)</t>
  </si>
  <si>
    <t>Date:</t>
  </si>
  <si>
    <t>Detailed Travel Itinerary:</t>
  </si>
  <si>
    <t>Departure</t>
  </si>
  <si>
    <t>Arrival</t>
  </si>
  <si>
    <t>No. of Night Stay</t>
  </si>
  <si>
    <t>No. of Day for Food Allowance</t>
  </si>
  <si>
    <t>Mode of Transport</t>
  </si>
  <si>
    <t>Class</t>
  </si>
  <si>
    <t>Fare (Tk.)</t>
  </si>
  <si>
    <t>Remarks</t>
  </si>
  <si>
    <t>Date</t>
  </si>
  <si>
    <t>Time</t>
  </si>
  <si>
    <t>Place</t>
  </si>
  <si>
    <t>Purpose: Capacity Assessment - SAMPLE  (Ref: FD/SICIP/CA/000/0000-0000, 06 May 2026)</t>
  </si>
  <si>
    <t>Office, Dhaka</t>
  </si>
  <si>
    <t>Venue, Dhaka</t>
  </si>
  <si>
    <t>-</t>
  </si>
  <si>
    <t>Uber Car</t>
  </si>
  <si>
    <t>Rented</t>
  </si>
  <si>
    <t>Receipt attached</t>
  </si>
  <si>
    <t>Bus</t>
  </si>
  <si>
    <t>AC</t>
  </si>
  <si>
    <t>Purpose: ToT Monitoring - Batch 1, Sample Institute (Ref: FD/SICIP/CA/000/0000-0000, 04 March 2026)</t>
  </si>
  <si>
    <t>Launch Terminal, Dhaka</t>
  </si>
  <si>
    <t>Uber Bike</t>
  </si>
  <si>
    <t>Ghat, Districtville</t>
  </si>
  <si>
    <t>Launch</t>
  </si>
  <si>
    <t>Cabin</t>
  </si>
  <si>
    <t>Ticket attached</t>
  </si>
  <si>
    <t>Main Road, Districtville</t>
  </si>
  <si>
    <t>Sample Institute, Districtville</t>
  </si>
  <si>
    <t>Downtown, Dhaka</t>
  </si>
  <si>
    <t>Total</t>
  </si>
  <si>
    <t>Total Travel Allowance</t>
  </si>
  <si>
    <t>Total Accomodation Allowance (2,000 BDT Per Night Stay)</t>
  </si>
  <si>
    <t>Total Food Allowance (1,500 BDT Per Day)</t>
  </si>
  <si>
    <t>Net claim bill TK. (In word) Twenty four thousand three hundred forty nine only</t>
  </si>
  <si>
    <t>Submitted By:</t>
  </si>
  <si>
    <t>Recommended By:</t>
  </si>
  <si>
    <t>John Doe</t>
  </si>
  <si>
    <t>Program Officer (QA) SICIP</t>
  </si>
</sst>
</file>

<file path=xl/styles.xml><?xml version="1.0" encoding="utf-8"?>
<styleSheet xmlns="http://schemas.openxmlformats.org/spreadsheetml/2006/main">
  <numFmts count="7">
    <numFmt numFmtId="176" formatCode="h:mm\ AM/PM"/>
    <numFmt numFmtId="42" formatCode="_(&quot;$&quot;* #,##0_);_(&quot;$&quot;* \(#,##0\);_(&quot;$&quot;* &quot;-&quot;_);_(@_)"/>
    <numFmt numFmtId="177" formatCode="_-* #,##0[$৳-845]_-;\-* #,##0[$৳-845]_-;_-* &quot;-&quot;??[$৳-845]_-;_-@_-"/>
    <numFmt numFmtId="178" formatCode="_ * #,##0_ ;_ * \-#,##0_ ;_ * &quot;-&quot;_ ;_ @_ "/>
    <numFmt numFmtId="43" formatCode="_(* #,##0.00_);_(* \(#,##0.00\);_(* &quot;-&quot;??_);_(@_)"/>
    <numFmt numFmtId="179" formatCode="_-* #,##0.00[$৳-845]_-;\-* #,##0.00[$৳-845]_-;_-* &quot;-&quot;??[$৳-845]_-;_-@_-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8"/>
      <color rgb="FFFF0000"/>
      <name val="Arial"/>
      <charset val="134"/>
    </font>
    <font>
      <b/>
      <sz val="11"/>
      <name val="Arial"/>
      <charset val="134"/>
    </font>
    <font>
      <b/>
      <sz val="8"/>
      <name val="Arial"/>
      <charset val="134"/>
    </font>
    <font>
      <sz val="8"/>
      <color rgb="FFFF0000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b/>
      <u/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3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7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31" fillId="14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43" fontId="17" fillId="0" borderId="0" applyFont="0" applyFill="0" applyBorder="0" applyAlignment="0" applyProtection="0"/>
    <xf numFmtId="0" fontId="16" fillId="5" borderId="9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3" xfId="0" applyNumberFormat="1" applyFont="1" applyBorder="1" applyAlignment="1">
      <alignment horizontal="center" vertical="center" wrapText="1"/>
    </xf>
    <xf numFmtId="15" fontId="1" fillId="0" borderId="4" xfId="0" applyNumberFormat="1" applyFont="1" applyBorder="1" applyAlignment="1">
      <alignment horizontal="center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9" fontId="8" fillId="2" borderId="0" xfId="0" applyNumberFormat="1" applyFont="1" applyFill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77" fontId="1" fillId="0" borderId="1" xfId="44" applyNumberFormat="1" applyFont="1" applyBorder="1" applyAlignment="1">
      <alignment horizontal="center" vertical="center" wrapText="1"/>
    </xf>
    <xf numFmtId="177" fontId="10" fillId="0" borderId="1" xfId="44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right" vertical="center" wrapText="1"/>
    </xf>
    <xf numFmtId="177" fontId="9" fillId="0" borderId="1" xfId="44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79" fontId="12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247650</xdr:colOff>
      <xdr:row>0</xdr:row>
      <xdr:rowOff>12700</xdr:rowOff>
    </xdr:from>
    <xdr:to>
      <xdr:col>11</xdr:col>
      <xdr:colOff>381000</xdr:colOff>
      <xdr:row>2</xdr:row>
      <xdr:rowOff>174625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49105" y="12700"/>
          <a:ext cx="106172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234950</xdr:colOff>
      <xdr:row>0</xdr:row>
      <xdr:rowOff>0</xdr:rowOff>
    </xdr:from>
    <xdr:to>
      <xdr:col>1</xdr:col>
      <xdr:colOff>222250</xdr:colOff>
      <xdr:row>3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4950" y="0"/>
          <a:ext cx="64516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showGridLines="0" tabSelected="1" view="pageBreakPreview" zoomScale="115" zoomScaleNormal="100" topLeftCell="A8" workbookViewId="0">
      <selection activeCell="F39" sqref="F39"/>
    </sheetView>
  </sheetViews>
  <sheetFormatPr defaultColWidth="9.18333333333333" defaultRowHeight="10.5"/>
  <cols>
    <col min="1" max="1" width="8.63333333333333" style="6" customWidth="1"/>
    <col min="2" max="2" width="8.36666666666667" style="6" customWidth="1"/>
    <col min="3" max="3" width="25.8166666666667" style="6" customWidth="1"/>
    <col min="4" max="4" width="9.09166666666667" style="6" customWidth="1"/>
    <col min="5" max="5" width="8.54166666666667" style="6" customWidth="1"/>
    <col min="6" max="6" width="24.5416666666667" style="6" customWidth="1"/>
    <col min="7" max="7" width="5.90833333333333" style="6" customWidth="1"/>
    <col min="8" max="8" width="8.18333333333333" style="6" customWidth="1"/>
    <col min="9" max="9" width="10.5416666666667" style="6" customWidth="1"/>
    <col min="10" max="10" width="9.81666666666667" style="6" customWidth="1"/>
    <col min="11" max="11" width="12.1833333333333" style="7" customWidth="1"/>
    <col min="12" max="12" width="11.5416666666667" style="6" customWidth="1"/>
    <col min="13" max="16384" width="9.18333333333333" style="6"/>
  </cols>
  <sheetData>
    <row r="1" s="1" customFormat="1" ht="14.25" spans="1:11">
      <c r="A1" s="8"/>
      <c r="C1" s="9" t="s">
        <v>0</v>
      </c>
      <c r="D1" s="9"/>
      <c r="E1" s="9"/>
      <c r="F1" s="9"/>
      <c r="G1" s="9"/>
      <c r="H1" s="9"/>
      <c r="I1" s="9"/>
      <c r="J1" s="9"/>
      <c r="K1" s="36"/>
    </row>
    <row r="2" s="1" customFormat="1" ht="14.25" spans="1:11">
      <c r="A2" s="8"/>
      <c r="C2" s="10" t="s">
        <v>1</v>
      </c>
      <c r="D2" s="10"/>
      <c r="E2" s="10"/>
      <c r="F2" s="10"/>
      <c r="G2" s="10"/>
      <c r="H2" s="10"/>
      <c r="I2" s="10"/>
      <c r="J2" s="10"/>
      <c r="K2" s="36"/>
    </row>
    <row r="3" s="1" customFormat="1" ht="14.25" spans="1:11">
      <c r="A3" s="8"/>
      <c r="C3" s="9" t="s">
        <v>2</v>
      </c>
      <c r="D3" s="9"/>
      <c r="E3" s="9"/>
      <c r="F3" s="9"/>
      <c r="G3" s="9"/>
      <c r="H3" s="9"/>
      <c r="I3" s="9"/>
      <c r="J3" s="9"/>
      <c r="K3" s="36"/>
    </row>
    <row r="4" s="1" customFormat="1" ht="4" customHeight="1" spans="11:11">
      <c r="K4" s="36"/>
    </row>
    <row r="5" s="1" customFormat="1" ht="14.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2" customFormat="1" ht="6" customHeight="1" spans="1:12">
      <c r="A6" s="12"/>
      <c r="B6" s="12"/>
      <c r="C6" s="12"/>
      <c r="D6" s="12"/>
      <c r="E6" s="12"/>
      <c r="F6" s="12"/>
      <c r="G6" s="12"/>
      <c r="H6" s="12"/>
      <c r="I6" s="12"/>
      <c r="J6" s="12"/>
      <c r="K6" s="37"/>
      <c r="L6" s="12"/>
    </row>
    <row r="7" s="1" customFormat="1" ht="13" customHeight="1" spans="1:12">
      <c r="A7" s="13" t="s">
        <v>4</v>
      </c>
      <c r="B7" s="13"/>
      <c r="C7" s="14" t="s">
        <v>5</v>
      </c>
      <c r="D7" s="14"/>
      <c r="E7" s="31"/>
      <c r="F7" s="31"/>
      <c r="J7" s="13" t="s">
        <v>6</v>
      </c>
      <c r="K7" s="18">
        <v>46188</v>
      </c>
      <c r="L7" s="20"/>
    </row>
    <row r="8" s="1" customFormat="1" ht="12" customHeight="1" spans="11:11">
      <c r="K8" s="36"/>
    </row>
    <row r="9" s="1" customFormat="1" ht="12" customHeight="1" spans="1:11">
      <c r="A9" s="14" t="s">
        <v>7</v>
      </c>
      <c r="B9" s="14"/>
      <c r="C9" s="14"/>
      <c r="D9" s="14"/>
      <c r="K9" s="36"/>
    </row>
    <row r="10" ht="12" customHeight="1" spans="1:4">
      <c r="A10" s="15"/>
      <c r="B10" s="15"/>
      <c r="C10" s="15"/>
      <c r="D10" s="15"/>
    </row>
    <row r="11" s="1" customFormat="1" ht="19" customHeight="1" spans="1:12">
      <c r="A11" s="16" t="s">
        <v>8</v>
      </c>
      <c r="B11" s="16"/>
      <c r="C11" s="16"/>
      <c r="D11" s="16" t="s">
        <v>9</v>
      </c>
      <c r="E11" s="16"/>
      <c r="F11" s="16"/>
      <c r="G11" s="16" t="s">
        <v>10</v>
      </c>
      <c r="H11" s="16" t="s">
        <v>11</v>
      </c>
      <c r="I11" s="16" t="s">
        <v>12</v>
      </c>
      <c r="J11" s="16" t="s">
        <v>13</v>
      </c>
      <c r="K11" s="38" t="s">
        <v>14</v>
      </c>
      <c r="L11" s="16" t="s">
        <v>15</v>
      </c>
    </row>
    <row r="12" s="1" customFormat="1" ht="17" customHeight="1" spans="1:12">
      <c r="A12" s="16" t="s">
        <v>16</v>
      </c>
      <c r="B12" s="16" t="s">
        <v>17</v>
      </c>
      <c r="C12" s="16" t="s">
        <v>18</v>
      </c>
      <c r="D12" s="16" t="s">
        <v>16</v>
      </c>
      <c r="E12" s="16" t="s">
        <v>17</v>
      </c>
      <c r="F12" s="16" t="s">
        <v>18</v>
      </c>
      <c r="G12" s="16"/>
      <c r="H12" s="16"/>
      <c r="I12" s="16"/>
      <c r="J12" s="16"/>
      <c r="K12" s="38"/>
      <c r="L12" s="16"/>
    </row>
    <row r="13" ht="12" spans="1:12">
      <c r="A13" s="17" t="s">
        <v>19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>
      <c r="A14" s="18">
        <v>46153</v>
      </c>
      <c r="B14" s="19">
        <v>0.4375</v>
      </c>
      <c r="C14" s="20" t="s">
        <v>20</v>
      </c>
      <c r="D14" s="18">
        <v>46153</v>
      </c>
      <c r="E14" s="19">
        <v>0.458333333333333</v>
      </c>
      <c r="F14" s="20" t="s">
        <v>21</v>
      </c>
      <c r="G14" s="20" t="s">
        <v>22</v>
      </c>
      <c r="H14" s="20" t="s">
        <v>22</v>
      </c>
      <c r="I14" s="20" t="s">
        <v>23</v>
      </c>
      <c r="J14" s="20" t="s">
        <v>24</v>
      </c>
      <c r="K14" s="39">
        <v>441</v>
      </c>
      <c r="L14" s="20" t="s">
        <v>25</v>
      </c>
    </row>
    <row r="15" spans="1:12">
      <c r="A15" s="18"/>
      <c r="B15" s="19">
        <v>0.674305555555556</v>
      </c>
      <c r="C15" s="20" t="s">
        <v>21</v>
      </c>
      <c r="D15" s="18"/>
      <c r="E15" s="19">
        <v>0.716666666666667</v>
      </c>
      <c r="F15" s="20" t="s">
        <v>20</v>
      </c>
      <c r="G15" s="20"/>
      <c r="H15" s="20"/>
      <c r="I15" s="20" t="s">
        <v>26</v>
      </c>
      <c r="J15" s="20" t="s">
        <v>27</v>
      </c>
      <c r="K15" s="39">
        <v>482</v>
      </c>
      <c r="L15" s="20" t="s">
        <v>25</v>
      </c>
    </row>
    <row r="16" customFormat="1" ht="15" spans="1:12">
      <c r="A16" s="17" t="s">
        <v>28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customFormat="1" ht="15" spans="1:12">
      <c r="A17" s="21">
        <v>46181</v>
      </c>
      <c r="B17" s="19">
        <v>0.620833333333333</v>
      </c>
      <c r="C17" s="20" t="s">
        <v>20</v>
      </c>
      <c r="D17" s="21">
        <v>46181</v>
      </c>
      <c r="E17" s="19">
        <v>0.646527777777778</v>
      </c>
      <c r="F17" s="20" t="s">
        <v>29</v>
      </c>
      <c r="G17" s="32">
        <v>1</v>
      </c>
      <c r="H17" s="32">
        <v>1</v>
      </c>
      <c r="I17" s="20" t="s">
        <v>30</v>
      </c>
      <c r="J17" s="20" t="s">
        <v>24</v>
      </c>
      <c r="K17" s="39">
        <v>176</v>
      </c>
      <c r="L17" s="20" t="s">
        <v>25</v>
      </c>
    </row>
    <row r="18" customFormat="1" ht="15" spans="1:12">
      <c r="A18" s="22"/>
      <c r="B18" s="19">
        <v>0.652777777777778</v>
      </c>
      <c r="C18" s="20" t="s">
        <v>29</v>
      </c>
      <c r="D18" s="22"/>
      <c r="E18" s="19">
        <v>0.90625</v>
      </c>
      <c r="F18" s="20" t="s">
        <v>31</v>
      </c>
      <c r="G18" s="33"/>
      <c r="H18" s="33"/>
      <c r="I18" s="20" t="s">
        <v>32</v>
      </c>
      <c r="J18" s="20" t="s">
        <v>33</v>
      </c>
      <c r="K18" s="39">
        <v>1500</v>
      </c>
      <c r="L18" s="20" t="s">
        <v>34</v>
      </c>
    </row>
    <row r="19" customFormat="1" ht="15" spans="1:12">
      <c r="A19" s="23"/>
      <c r="B19" s="19">
        <v>0.909722222222222</v>
      </c>
      <c r="C19" s="20" t="s">
        <v>31</v>
      </c>
      <c r="D19" s="23"/>
      <c r="E19" s="19">
        <v>0.927083333333333</v>
      </c>
      <c r="F19" s="20" t="s">
        <v>35</v>
      </c>
      <c r="G19" s="34"/>
      <c r="H19" s="34"/>
      <c r="I19" s="20" t="s">
        <v>22</v>
      </c>
      <c r="J19" s="20" t="s">
        <v>22</v>
      </c>
      <c r="K19" s="39" t="s">
        <v>22</v>
      </c>
      <c r="L19" s="20"/>
    </row>
    <row r="20" customFormat="1" ht="15" spans="1:12">
      <c r="A20" s="18">
        <v>46182</v>
      </c>
      <c r="B20" s="19">
        <v>0.364583333333333</v>
      </c>
      <c r="C20" s="20" t="s">
        <v>35</v>
      </c>
      <c r="D20" s="18">
        <v>46182</v>
      </c>
      <c r="E20" s="19">
        <v>0.378472222222222</v>
      </c>
      <c r="F20" s="20" t="s">
        <v>36</v>
      </c>
      <c r="G20" s="20">
        <v>1</v>
      </c>
      <c r="H20" s="20">
        <v>1</v>
      </c>
      <c r="I20" s="20" t="s">
        <v>22</v>
      </c>
      <c r="J20" s="20" t="s">
        <v>22</v>
      </c>
      <c r="K20" s="39" t="s">
        <v>22</v>
      </c>
      <c r="L20" s="20"/>
    </row>
    <row r="21" customFormat="1" ht="15" spans="1:12">
      <c r="A21" s="18"/>
      <c r="B21" s="19">
        <v>0.71875</v>
      </c>
      <c r="C21" s="20" t="s">
        <v>36</v>
      </c>
      <c r="D21" s="18"/>
      <c r="E21" s="19">
        <v>0.732638888888889</v>
      </c>
      <c r="F21" s="20" t="s">
        <v>35</v>
      </c>
      <c r="G21" s="20"/>
      <c r="H21" s="20"/>
      <c r="I21" s="20" t="s">
        <v>22</v>
      </c>
      <c r="J21" s="20" t="s">
        <v>22</v>
      </c>
      <c r="K21" s="39" t="s">
        <v>22</v>
      </c>
      <c r="L21" s="20"/>
    </row>
    <row r="22" customFormat="1" ht="15" spans="1:12">
      <c r="A22" s="18">
        <v>46183</v>
      </c>
      <c r="B22" s="19">
        <v>0.381944444444444</v>
      </c>
      <c r="C22" s="20" t="s">
        <v>35</v>
      </c>
      <c r="D22" s="18">
        <v>46183</v>
      </c>
      <c r="E22" s="19">
        <v>0.395833333333333</v>
      </c>
      <c r="F22" s="20" t="s">
        <v>36</v>
      </c>
      <c r="G22" s="20">
        <v>1</v>
      </c>
      <c r="H22" s="20">
        <v>1</v>
      </c>
      <c r="I22" s="20" t="s">
        <v>22</v>
      </c>
      <c r="J22" s="20" t="s">
        <v>22</v>
      </c>
      <c r="K22" s="39" t="s">
        <v>22</v>
      </c>
      <c r="L22" s="20"/>
    </row>
    <row r="23" customFormat="1" ht="15" spans="1:12">
      <c r="A23" s="18"/>
      <c r="B23" s="19">
        <v>0.697916666666667</v>
      </c>
      <c r="C23" s="20" t="s">
        <v>36</v>
      </c>
      <c r="D23" s="18"/>
      <c r="E23" s="19">
        <v>0.71875</v>
      </c>
      <c r="F23" s="20" t="s">
        <v>35</v>
      </c>
      <c r="G23" s="20"/>
      <c r="H23" s="20"/>
      <c r="I23" s="20" t="s">
        <v>22</v>
      </c>
      <c r="J23" s="20" t="s">
        <v>22</v>
      </c>
      <c r="K23" s="39" t="s">
        <v>22</v>
      </c>
      <c r="L23" s="20"/>
    </row>
    <row r="24" customFormat="1" ht="15" spans="1:12">
      <c r="A24" s="18">
        <v>46184</v>
      </c>
      <c r="B24" s="19">
        <v>0.378472222222222</v>
      </c>
      <c r="C24" s="20" t="s">
        <v>35</v>
      </c>
      <c r="D24" s="18">
        <v>46184</v>
      </c>
      <c r="E24" s="19">
        <v>0.388888888888889</v>
      </c>
      <c r="F24" s="20" t="s">
        <v>36</v>
      </c>
      <c r="G24" s="20">
        <v>1</v>
      </c>
      <c r="H24" s="20">
        <v>1</v>
      </c>
      <c r="I24" s="20" t="s">
        <v>22</v>
      </c>
      <c r="J24" s="20" t="s">
        <v>22</v>
      </c>
      <c r="K24" s="39" t="s">
        <v>22</v>
      </c>
      <c r="L24" s="20"/>
    </row>
    <row r="25" customFormat="1" ht="15" spans="1:12">
      <c r="A25" s="18"/>
      <c r="B25" s="19">
        <v>0.729166666666667</v>
      </c>
      <c r="C25" s="20" t="s">
        <v>36</v>
      </c>
      <c r="D25" s="18"/>
      <c r="E25" s="19">
        <v>0.739583333333333</v>
      </c>
      <c r="F25" s="20" t="s">
        <v>35</v>
      </c>
      <c r="G25" s="20"/>
      <c r="H25" s="20"/>
      <c r="I25" s="20" t="s">
        <v>22</v>
      </c>
      <c r="J25" s="20" t="s">
        <v>22</v>
      </c>
      <c r="K25" s="39" t="s">
        <v>22</v>
      </c>
      <c r="L25" s="20"/>
    </row>
    <row r="26" customFormat="1" ht="15" spans="1:12">
      <c r="A26" s="18">
        <v>46185</v>
      </c>
      <c r="B26" s="19">
        <v>0.354166666666667</v>
      </c>
      <c r="C26" s="20" t="s">
        <v>35</v>
      </c>
      <c r="D26" s="18">
        <v>46185</v>
      </c>
      <c r="E26" s="19">
        <v>0.368055555555556</v>
      </c>
      <c r="F26" s="20" t="s">
        <v>36</v>
      </c>
      <c r="G26" s="20">
        <v>1</v>
      </c>
      <c r="H26" s="20">
        <v>1</v>
      </c>
      <c r="I26" s="20" t="s">
        <v>22</v>
      </c>
      <c r="J26" s="20" t="s">
        <v>22</v>
      </c>
      <c r="K26" s="39" t="s">
        <v>22</v>
      </c>
      <c r="L26" s="20"/>
    </row>
    <row r="27" customFormat="1" ht="15" spans="1:12">
      <c r="A27" s="18"/>
      <c r="B27" s="19">
        <v>0.715277777777778</v>
      </c>
      <c r="C27" s="20" t="s">
        <v>36</v>
      </c>
      <c r="D27" s="18"/>
      <c r="E27" s="19">
        <v>0.725694444444444</v>
      </c>
      <c r="F27" s="20" t="s">
        <v>35</v>
      </c>
      <c r="G27" s="20"/>
      <c r="H27" s="20"/>
      <c r="I27" s="20" t="s">
        <v>22</v>
      </c>
      <c r="J27" s="20" t="s">
        <v>22</v>
      </c>
      <c r="K27" s="39" t="s">
        <v>22</v>
      </c>
      <c r="L27" s="20"/>
    </row>
    <row r="28" customFormat="1" ht="15" spans="1:12">
      <c r="A28" s="18">
        <v>46186</v>
      </c>
      <c r="B28" s="19">
        <v>0.371527777777778</v>
      </c>
      <c r="C28" s="20" t="s">
        <v>35</v>
      </c>
      <c r="D28" s="18">
        <v>46186</v>
      </c>
      <c r="E28" s="19">
        <v>0.381944444444444</v>
      </c>
      <c r="F28" s="20" t="s">
        <v>36</v>
      </c>
      <c r="G28" s="20">
        <v>1</v>
      </c>
      <c r="H28" s="20">
        <v>1</v>
      </c>
      <c r="I28" s="20" t="s">
        <v>22</v>
      </c>
      <c r="J28" s="20" t="s">
        <v>22</v>
      </c>
      <c r="K28" s="39" t="s">
        <v>22</v>
      </c>
      <c r="L28" s="20"/>
    </row>
    <row r="29" customFormat="1" ht="15" spans="1:12">
      <c r="A29" s="18"/>
      <c r="B29" s="19">
        <v>0.71875</v>
      </c>
      <c r="C29" s="20" t="s">
        <v>36</v>
      </c>
      <c r="D29" s="18"/>
      <c r="E29" s="19">
        <v>0.729166666666667</v>
      </c>
      <c r="F29" s="20" t="s">
        <v>35</v>
      </c>
      <c r="G29" s="20"/>
      <c r="H29" s="20"/>
      <c r="I29" s="20" t="s">
        <v>22</v>
      </c>
      <c r="J29" s="20" t="s">
        <v>22</v>
      </c>
      <c r="K29" s="39" t="s">
        <v>22</v>
      </c>
      <c r="L29" s="20"/>
    </row>
    <row r="30" customFormat="1" ht="15" spans="1:12">
      <c r="A30" s="18">
        <v>46187</v>
      </c>
      <c r="B30" s="19">
        <v>0.333333333333333</v>
      </c>
      <c r="C30" s="20" t="s">
        <v>35</v>
      </c>
      <c r="D30" s="18">
        <v>46187</v>
      </c>
      <c r="E30" s="19">
        <v>0.347222222222222</v>
      </c>
      <c r="F30" s="20" t="s">
        <v>36</v>
      </c>
      <c r="G30" s="20">
        <v>0</v>
      </c>
      <c r="H30" s="20">
        <v>0.5</v>
      </c>
      <c r="I30" s="20" t="s">
        <v>22</v>
      </c>
      <c r="J30" s="20" t="s">
        <v>22</v>
      </c>
      <c r="K30" s="39" t="s">
        <v>22</v>
      </c>
      <c r="L30" s="20"/>
    </row>
    <row r="31" customFormat="1" ht="15" spans="1:12">
      <c r="A31" s="18"/>
      <c r="B31" s="19">
        <v>0.489583333333333</v>
      </c>
      <c r="C31" s="20" t="s">
        <v>36</v>
      </c>
      <c r="D31" s="18"/>
      <c r="E31" s="19">
        <v>0.503472222222222</v>
      </c>
      <c r="F31" s="20" t="s">
        <v>35</v>
      </c>
      <c r="G31" s="20"/>
      <c r="H31" s="20"/>
      <c r="I31" s="20" t="s">
        <v>22</v>
      </c>
      <c r="J31" s="20" t="s">
        <v>22</v>
      </c>
      <c r="K31" s="39" t="s">
        <v>22</v>
      </c>
      <c r="L31" s="20"/>
    </row>
    <row r="32" customFormat="1" ht="15" spans="1:12">
      <c r="A32" s="18"/>
      <c r="B32" s="19">
        <v>0.645833333333333</v>
      </c>
      <c r="C32" s="20" t="s">
        <v>35</v>
      </c>
      <c r="D32" s="18"/>
      <c r="E32" s="19">
        <v>0.979166666666667</v>
      </c>
      <c r="F32" s="20" t="s">
        <v>37</v>
      </c>
      <c r="G32" s="20"/>
      <c r="H32" s="20"/>
      <c r="I32" s="20" t="s">
        <v>22</v>
      </c>
      <c r="J32" s="20" t="s">
        <v>22</v>
      </c>
      <c r="K32" s="39" t="s">
        <v>22</v>
      </c>
      <c r="L32" s="20"/>
    </row>
    <row r="33" s="3" customFormat="1" ht="15" customHeight="1" spans="1:12">
      <c r="A33" s="24" t="s">
        <v>38</v>
      </c>
      <c r="B33" s="25"/>
      <c r="C33" s="25"/>
      <c r="D33" s="25"/>
      <c r="E33" s="25"/>
      <c r="F33" s="35"/>
      <c r="G33" s="17">
        <f>SUM(G13:G32)</f>
        <v>6</v>
      </c>
      <c r="H33" s="17">
        <f>SUM(H13:H32)</f>
        <v>6.5</v>
      </c>
      <c r="I33" s="24" t="s">
        <v>39</v>
      </c>
      <c r="J33" s="35"/>
      <c r="K33" s="40">
        <f>SUM(K13:K32)</f>
        <v>2599</v>
      </c>
      <c r="L33" s="41"/>
    </row>
    <row r="34" ht="15" customHeight="1" spans="1:12">
      <c r="A34" s="26" t="s">
        <v>40</v>
      </c>
      <c r="B34" s="27"/>
      <c r="C34" s="27"/>
      <c r="D34" s="27"/>
      <c r="E34" s="27"/>
      <c r="F34" s="27"/>
      <c r="G34" s="27"/>
      <c r="H34" s="27"/>
      <c r="I34" s="27"/>
      <c r="J34" s="42"/>
      <c r="K34" s="43">
        <f>2000*G33</f>
        <v>12000</v>
      </c>
      <c r="L34" s="44"/>
    </row>
    <row r="35" ht="15" customHeight="1" spans="1:12">
      <c r="A35" s="28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43">
        <f>1500*H33</f>
        <v>9750</v>
      </c>
      <c r="L35" s="44"/>
    </row>
    <row r="36" s="4" customFormat="1" ht="15" customHeight="1" spans="1:12">
      <c r="A36" s="17" t="s">
        <v>42</v>
      </c>
      <c r="B36" s="17"/>
      <c r="C36" s="17"/>
      <c r="D36" s="17"/>
      <c r="E36" s="17"/>
      <c r="F36" s="17"/>
      <c r="G36" s="17"/>
      <c r="H36" s="17"/>
      <c r="I36" s="17"/>
      <c r="J36" s="17"/>
      <c r="K36" s="40">
        <f>SUM(K33:K35)</f>
        <v>24349</v>
      </c>
      <c r="L36" s="45"/>
    </row>
    <row r="37" s="1" customFormat="1" ht="12.75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46"/>
      <c r="L37" s="9"/>
    </row>
    <row r="38" s="5" customFormat="1" ht="15" customHeight="1" spans="1:12">
      <c r="A38" s="29" t="s">
        <v>43</v>
      </c>
      <c r="B38" s="29"/>
      <c r="C38" s="10"/>
      <c r="D38" s="10"/>
      <c r="E38" s="10"/>
      <c r="F38" s="10"/>
      <c r="G38" s="10"/>
      <c r="H38" s="10"/>
      <c r="I38" s="10"/>
      <c r="J38" s="29" t="s">
        <v>44</v>
      </c>
      <c r="K38" s="29"/>
      <c r="L38" s="47"/>
    </row>
    <row r="39" s="5" customFormat="1" ht="15" customHeight="1" spans="1:12">
      <c r="A39" s="29"/>
      <c r="B39" s="29"/>
      <c r="C39" s="10"/>
      <c r="D39" s="10"/>
      <c r="E39" s="10"/>
      <c r="F39" s="10"/>
      <c r="G39" s="10"/>
      <c r="H39" s="10"/>
      <c r="I39" s="10"/>
      <c r="J39" s="29"/>
      <c r="K39" s="29"/>
      <c r="L39" s="47"/>
    </row>
    <row r="40" s="5" customFormat="1" ht="15" customHeight="1" spans="1:12">
      <c r="A40" s="29"/>
      <c r="B40" s="29"/>
      <c r="C40" s="10"/>
      <c r="D40" s="10"/>
      <c r="E40" s="10"/>
      <c r="F40" s="10"/>
      <c r="G40" s="10"/>
      <c r="H40" s="10"/>
      <c r="I40" s="10"/>
      <c r="J40" s="29"/>
      <c r="K40" s="29"/>
      <c r="L40" s="47"/>
    </row>
    <row r="41" ht="12.75" spans="1:1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48"/>
      <c r="L41" s="30"/>
    </row>
    <row r="42" ht="12.75" spans="1:1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48"/>
      <c r="L42" s="30"/>
    </row>
    <row r="43" spans="1:2">
      <c r="A43" s="5" t="s">
        <v>45</v>
      </c>
      <c r="B43" s="5"/>
    </row>
    <row r="44" ht="26" customHeight="1" spans="1:2">
      <c r="A44" s="1" t="s">
        <v>46</v>
      </c>
      <c r="B44" s="1"/>
    </row>
    <row r="45" ht="30" customHeight="1"/>
  </sheetData>
  <mergeCells count="59">
    <mergeCell ref="C1:J1"/>
    <mergeCell ref="C2:J2"/>
    <mergeCell ref="C3:J3"/>
    <mergeCell ref="A5:L5"/>
    <mergeCell ref="A7:B7"/>
    <mergeCell ref="C7:D7"/>
    <mergeCell ref="K7:L7"/>
    <mergeCell ref="A9:D9"/>
    <mergeCell ref="A11:C11"/>
    <mergeCell ref="D11:F11"/>
    <mergeCell ref="A13:L13"/>
    <mergeCell ref="A16:L16"/>
    <mergeCell ref="A33:F33"/>
    <mergeCell ref="I33:J33"/>
    <mergeCell ref="A34:J34"/>
    <mergeCell ref="A35:J35"/>
    <mergeCell ref="A36:J36"/>
    <mergeCell ref="A38:B38"/>
    <mergeCell ref="J38:K38"/>
    <mergeCell ref="A43:B43"/>
    <mergeCell ref="A44:B44"/>
    <mergeCell ref="A14:A15"/>
    <mergeCell ref="A17:A19"/>
    <mergeCell ref="A20:A21"/>
    <mergeCell ref="A22:A23"/>
    <mergeCell ref="A24:A25"/>
    <mergeCell ref="A26:A27"/>
    <mergeCell ref="A28:A29"/>
    <mergeCell ref="A30:A32"/>
    <mergeCell ref="D14:D15"/>
    <mergeCell ref="D17:D19"/>
    <mergeCell ref="D20:D21"/>
    <mergeCell ref="D22:D23"/>
    <mergeCell ref="D24:D25"/>
    <mergeCell ref="D26:D27"/>
    <mergeCell ref="D28:D29"/>
    <mergeCell ref="D30:D32"/>
    <mergeCell ref="G11:G12"/>
    <mergeCell ref="G14:G15"/>
    <mergeCell ref="G17:G19"/>
    <mergeCell ref="G20:G21"/>
    <mergeCell ref="G22:G23"/>
    <mergeCell ref="G24:G25"/>
    <mergeCell ref="G26:G27"/>
    <mergeCell ref="G28:G29"/>
    <mergeCell ref="G30:G32"/>
    <mergeCell ref="H11:H12"/>
    <mergeCell ref="H14:H15"/>
    <mergeCell ref="H17:H19"/>
    <mergeCell ref="H20:H21"/>
    <mergeCell ref="H22:H23"/>
    <mergeCell ref="H24:H25"/>
    <mergeCell ref="H26:H27"/>
    <mergeCell ref="H28:H29"/>
    <mergeCell ref="H30:H32"/>
    <mergeCell ref="I11:I12"/>
    <mergeCell ref="J11:J12"/>
    <mergeCell ref="K11:K12"/>
    <mergeCell ref="L11:L12"/>
  </mergeCells>
  <printOptions horizontalCentered="1"/>
  <pageMargins left="0.239583333333333" right="0.239583333333333" top="0.239583333333333" bottom="0" header="0.309722222222222" footer="0"/>
  <pageSetup paperSize="9" scale="83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Shorab Sabbir</dc:creator>
  <cp:lastModifiedBy>rms</cp:lastModifiedBy>
  <dcterms:created xsi:type="dcterms:W3CDTF">2015-06-06T18:17:00Z</dcterms:created>
  <cp:lastPrinted>2026-02-02T06:30:00Z</cp:lastPrinted>
  <dcterms:modified xsi:type="dcterms:W3CDTF">2026-07-10T05:13:55Z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F582A9F819EF4F5A9E5F918972CB127E_13</vt:lpwstr>
  </property>
  <property fmtid="{D5CDD505-2E9C-101B-9397-08002B2CF9AE}" pid="3" name="KSOProductBuildVer">
    <vt:lpwstr>1033-11.1.0.11723</vt:lpwstr>
  </property>
</Properties>
</file>